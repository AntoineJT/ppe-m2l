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120" yWindow="45" windowWidth="19440" windowHeight="10035" tabRatio="786" activeTab="5"/>
  </bookViews>
  <sheets>
    <sheet name="Facture" sheetId="1" r:id="rId1"/>
    <sheet name="LIGUES" sheetId="2" r:id="rId2"/>
    <sheet name="prestations" sheetId="3" r:id="rId3"/>
    <sheet name="parametres" sheetId="4" r:id="rId4"/>
    <sheet name="Feuil1" sheetId="5" r:id="rId5"/>
    <sheet name="Feuil2" sheetId="6" r:id="rId6"/>
    <sheet name="Feuil3" sheetId="7" r:id="rId7"/>
  </sheets>
  <externalReferences>
    <externalReference r:id="rId8"/>
  </externalReferences>
  <definedNames>
    <definedName name="_xlnm.Print_Area" localSheetId="0">Facture!$A$1:$G$50</definedName>
    <definedName name="_xlnm.Print_Area" localSheetId="5">Feuil2!$A$1:$G$50</definedName>
  </definedNames>
  <calcPr calcId="125725"/>
</workbook>
</file>

<file path=xl/calcChain.xml><?xml version="1.0" encoding="utf-8"?>
<calcChain xmlns="http://schemas.openxmlformats.org/spreadsheetml/2006/main">
  <c r="D21" i="5"/>
  <c r="D19"/>
  <c r="D23"/>
  <c r="G28" i="6"/>
  <c r="E17" i="5"/>
  <c r="F22" i="6"/>
  <c r="G22" s="1"/>
  <c r="F26"/>
  <c r="F24"/>
  <c r="G24" s="1"/>
  <c r="D17" i="5"/>
  <c r="F24" i="7"/>
  <c r="E8" i="6"/>
  <c r="F28"/>
  <c r="E7"/>
  <c r="B26"/>
  <c r="B24"/>
  <c r="B22"/>
  <c r="G17"/>
  <c r="G26" l="1"/>
  <c r="G42" s="1"/>
  <c r="G45" s="1"/>
  <c r="F24" i="5"/>
  <c r="C4" i="4" l="1"/>
  <c r="B4" s="1"/>
  <c r="B5" s="1"/>
  <c r="C5" s="1"/>
  <c r="G26" i="1" l="1"/>
  <c r="G24"/>
  <c r="G22"/>
  <c r="G40" s="1"/>
  <c r="G43" s="1"/>
  <c r="F26"/>
  <c r="F24"/>
  <c r="F22"/>
  <c r="B26"/>
  <c r="B24"/>
  <c r="B22"/>
  <c r="G17"/>
  <c r="E8"/>
  <c r="E7"/>
  <c r="E19" i="5"/>
  <c r="E21"/>
</calcChain>
</file>

<file path=xl/sharedStrings.xml><?xml version="1.0" encoding="utf-8"?>
<sst xmlns="http://schemas.openxmlformats.org/spreadsheetml/2006/main" count="118" uniqueCount="52">
  <si>
    <t>CROSL</t>
  </si>
  <si>
    <t xml:space="preserve">Maison Régionale des Sports de Lorraine </t>
  </si>
  <si>
    <t>13 rue Jean Moulin</t>
  </si>
  <si>
    <t>BP 70001</t>
  </si>
  <si>
    <t>54510 TOMBLAINE</t>
  </si>
  <si>
    <t>Siret 31740105700029</t>
  </si>
  <si>
    <t>Fax 03.83.18.87.03</t>
  </si>
  <si>
    <r>
      <t xml:space="preserve">Tél </t>
    </r>
    <r>
      <rPr>
        <b/>
        <sz val="11"/>
        <color theme="1"/>
        <rFont val="Calibri"/>
        <family val="2"/>
        <scheme val="minor"/>
      </rPr>
      <t>03.83.18.87.02</t>
    </r>
  </si>
  <si>
    <t>FACTURE</t>
  </si>
  <si>
    <t>Date</t>
  </si>
  <si>
    <t>Numero</t>
  </si>
  <si>
    <t>Code Client</t>
  </si>
  <si>
    <t>Échéance</t>
  </si>
  <si>
    <t>Référence</t>
  </si>
  <si>
    <t>Désignation</t>
  </si>
  <si>
    <t>Qté</t>
  </si>
  <si>
    <t>PU HT</t>
  </si>
  <si>
    <t>Montant TTC</t>
  </si>
  <si>
    <t>Déclaré à la préfecture de Meurthe et Moselle N° 3898</t>
  </si>
  <si>
    <t>Domiciliation bancaire 10278 04065 000 166911045 05</t>
  </si>
  <si>
    <t>Merci de bien vouloir préciser les références de la facture acquittée</t>
  </si>
  <si>
    <t>TVA non applicable</t>
  </si>
  <si>
    <t>MONTANT A PAYER</t>
  </si>
  <si>
    <t>Total TTC</t>
  </si>
  <si>
    <t>Ligue Lorraine Escrime</t>
  </si>
  <si>
    <t>Valérie LAHEURTE</t>
  </si>
  <si>
    <t>Ligue Lorraine de FootBall</t>
  </si>
  <si>
    <t>Pierre LENOIR</t>
  </si>
  <si>
    <t>Mohamed BOURGARD</t>
  </si>
  <si>
    <t>AFFRAN</t>
  </si>
  <si>
    <t>PHOTOCOULEUR</t>
  </si>
  <si>
    <t>PHOTON&amp;B</t>
  </si>
  <si>
    <t>Affranchissement</t>
  </si>
  <si>
    <t>Photocopies couleur</t>
  </si>
  <si>
    <t>Photocopies Noir et Blanc</t>
  </si>
  <si>
    <t>facture</t>
  </si>
  <si>
    <t>facture suivante</t>
  </si>
  <si>
    <t>FACTURATION</t>
  </si>
  <si>
    <t>Basket</t>
  </si>
  <si>
    <t>Escrime</t>
  </si>
  <si>
    <t>Foot</t>
  </si>
  <si>
    <t>A l'attention de Valérie LAHEURTE</t>
  </si>
  <si>
    <t>TOTAL</t>
  </si>
  <si>
    <t>Sylvain Delahousse</t>
  </si>
  <si>
    <t>Ligue Lorraine de Baby-Foot</t>
  </si>
  <si>
    <t>Baby-Foot</t>
  </si>
  <si>
    <t>TRACEUR</t>
  </si>
  <si>
    <t>traceur</t>
  </si>
  <si>
    <t>Ligue Lorraine Basket</t>
  </si>
  <si>
    <t>Ligue Lorraine de Escrime</t>
  </si>
  <si>
    <t>FC 5184</t>
  </si>
  <si>
    <t>FC 5185</t>
  </si>
</sst>
</file>

<file path=xl/styles.xml><?xml version="1.0" encoding="utf-8"?>
<styleSheet xmlns="http://schemas.openxmlformats.org/spreadsheetml/2006/main">
  <numFmts count="2">
    <numFmt numFmtId="44" formatCode="_-* #,##0.00\ &quot;€&quot;_-;\-* #,##0.00\ &quot;€&quot;_-;_-* &quot;-&quot;??\ &quot;€&quot;_-;_-@_-"/>
    <numFmt numFmtId="164" formatCode="0.000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7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64" fontId="0" fillId="0" borderId="0" xfId="0" applyNumberFormat="1"/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 indent="2"/>
    </xf>
    <xf numFmtId="2" fontId="0" fillId="0" borderId="0" xfId="0" applyNumberFormat="1" applyAlignment="1">
      <alignment horizontal="right" indent="2"/>
    </xf>
    <xf numFmtId="44" fontId="0" fillId="0" borderId="0" xfId="1" applyFont="1" applyAlignment="1">
      <alignment horizontal="right" indent="2"/>
    </xf>
    <xf numFmtId="44" fontId="0" fillId="0" borderId="0" xfId="1" applyFont="1"/>
    <xf numFmtId="44" fontId="2" fillId="0" borderId="0" xfId="1" applyFont="1"/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2" fontId="0" fillId="0" borderId="0" xfId="0" applyNumberFormat="1" applyAlignment="1" applyProtection="1">
      <alignment horizontal="right" indent="2"/>
      <protection locked="0"/>
    </xf>
    <xf numFmtId="44" fontId="0" fillId="0" borderId="0" xfId="0" applyNumberFormat="1"/>
    <xf numFmtId="0" fontId="0" fillId="0" borderId="0" xfId="0" applyBorder="1"/>
    <xf numFmtId="0" fontId="0" fillId="0" borderId="0" xfId="0" applyBorder="1" applyProtection="1">
      <protection locked="0"/>
    </xf>
    <xf numFmtId="0" fontId="2" fillId="0" borderId="0" xfId="0" applyFont="1" applyBorder="1"/>
    <xf numFmtId="2" fontId="0" fillId="0" borderId="0" xfId="0" applyNumberFormat="1" applyBorder="1" applyAlignment="1" applyProtection="1">
      <alignment horizontal="right" indent="2"/>
      <protection locked="0"/>
    </xf>
    <xf numFmtId="164" fontId="0" fillId="0" borderId="0" xfId="0" applyNumberFormat="1" applyBorder="1" applyAlignment="1">
      <alignment horizontal="right" indent="2"/>
    </xf>
    <xf numFmtId="44" fontId="0" fillId="0" borderId="0" xfId="1" applyFont="1" applyBorder="1" applyAlignment="1">
      <alignment horizontal="right" indent="2"/>
    </xf>
    <xf numFmtId="2" fontId="0" fillId="0" borderId="0" xfId="0" applyNumberFormat="1" applyBorder="1" applyAlignment="1">
      <alignment horizontal="right" indent="2"/>
    </xf>
    <xf numFmtId="44" fontId="0" fillId="0" borderId="0" xfId="0" applyNumberFormat="1" applyBorder="1"/>
    <xf numFmtId="2" fontId="0" fillId="0" borderId="0" xfId="0" applyNumberFormat="1"/>
    <xf numFmtId="2" fontId="0" fillId="0" borderId="0" xfId="0" applyNumberFormat="1" applyAlignment="1">
      <alignment horizontal="left" indent="3"/>
    </xf>
    <xf numFmtId="44" fontId="0" fillId="0" borderId="0" xfId="0" applyNumberFormat="1" applyAlignment="1">
      <alignment horizontal="right" indent="1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Range="LIGUES!E$1:$E$3" noThreeD="1" sel="0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prin\Documents\Feuil2_Excel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Feuil2_Excel"/>
    </sheetNames>
    <definedNames>
      <definedName name="n°_facture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5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2.v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G50"/>
  <sheetViews>
    <sheetView workbookViewId="0">
      <selection activeCell="B54" sqref="B54"/>
    </sheetView>
  </sheetViews>
  <sheetFormatPr baseColWidth="10" defaultRowHeight="15"/>
  <cols>
    <col min="6" max="6" width="13.28515625" bestFit="1" customWidth="1"/>
    <col min="7" max="7" width="17.7109375" customWidth="1"/>
  </cols>
  <sheetData>
    <row r="1" spans="1:7">
      <c r="A1" t="s">
        <v>0</v>
      </c>
    </row>
    <row r="3" spans="1:7">
      <c r="A3" t="s">
        <v>1</v>
      </c>
    </row>
    <row r="4" spans="1:7">
      <c r="A4" t="s">
        <v>2</v>
      </c>
    </row>
    <row r="5" spans="1:7">
      <c r="A5" t="s">
        <v>3</v>
      </c>
    </row>
    <row r="6" spans="1:7">
      <c r="A6" s="1" t="s">
        <v>4</v>
      </c>
    </row>
    <row r="7" spans="1:7">
      <c r="E7" s="13" t="str">
        <f>VLOOKUP(E17,LIGUES!$A$1:$C$3,2)</f>
        <v>Ligue Lorraine Basket</v>
      </c>
    </row>
    <row r="8" spans="1:7">
      <c r="A8" t="s">
        <v>5</v>
      </c>
      <c r="E8" s="13" t="str">
        <f>"A l'attention de "&amp;VLOOKUP(E17,LIGUES!$A$1:$C$3,3)</f>
        <v>A l'attention de Valérie LAHEURTE</v>
      </c>
    </row>
    <row r="9" spans="1:7">
      <c r="A9" t="s">
        <v>7</v>
      </c>
      <c r="E9" t="s">
        <v>1</v>
      </c>
    </row>
    <row r="10" spans="1:7">
      <c r="A10" t="s">
        <v>6</v>
      </c>
      <c r="E10" t="s">
        <v>2</v>
      </c>
    </row>
    <row r="11" spans="1:7">
      <c r="E11" s="1" t="s">
        <v>4</v>
      </c>
    </row>
    <row r="14" spans="1:7" ht="15.75">
      <c r="A14" s="2" t="s">
        <v>8</v>
      </c>
    </row>
    <row r="16" spans="1:7">
      <c r="A16" t="s">
        <v>9</v>
      </c>
      <c r="C16" t="s">
        <v>10</v>
      </c>
      <c r="E16" t="s">
        <v>11</v>
      </c>
      <c r="G16" t="s">
        <v>12</v>
      </c>
    </row>
    <row r="17" spans="1:7">
      <c r="A17" s="12">
        <v>40951</v>
      </c>
      <c r="C17" s="13" t="s">
        <v>50</v>
      </c>
      <c r="E17" s="13">
        <v>411007</v>
      </c>
      <c r="G17" s="6">
        <f>EOMONTH(A17,0)</f>
        <v>40968</v>
      </c>
    </row>
    <row r="20" spans="1:7">
      <c r="A20" t="s">
        <v>13</v>
      </c>
      <c r="B20" t="s">
        <v>14</v>
      </c>
      <c r="E20" t="s">
        <v>15</v>
      </c>
      <c r="F20" t="s">
        <v>16</v>
      </c>
      <c r="G20" t="s">
        <v>17</v>
      </c>
    </row>
    <row r="22" spans="1:7">
      <c r="A22" s="13" t="s">
        <v>29</v>
      </c>
      <c r="B22" t="str">
        <f>IF(ISBLANK(A22),"",VLOOKUP(A22,prestations!$A$1:$C$3,2))</f>
        <v>Affranchissement</v>
      </c>
      <c r="E22" s="14">
        <v>1</v>
      </c>
      <c r="F22" s="7">
        <f>IF(ISBLANK(A22),"",VLOOKUP(A22,prestations!$A$1:$C$3,3))</f>
        <v>3.33</v>
      </c>
      <c r="G22" s="9">
        <f>IF(ISBLANK(E22),"",E22*F22)</f>
        <v>3.33</v>
      </c>
    </row>
    <row r="23" spans="1:7">
      <c r="E23" s="8"/>
      <c r="G23" s="8"/>
    </row>
    <row r="24" spans="1:7">
      <c r="A24" s="13" t="s">
        <v>30</v>
      </c>
      <c r="B24" t="str">
        <f>IF(ISBLANK(A24),"",VLOOKUP(A24,prestations!$A$1:$C$3,2))</f>
        <v>Photocopies couleur</v>
      </c>
      <c r="E24" s="14">
        <v>166</v>
      </c>
      <c r="F24" s="7">
        <f>IF(ISBLANK(A24),"",VLOOKUP(A24,prestations!$A$1:$C$3,3))</f>
        <v>0.24</v>
      </c>
      <c r="G24" s="9">
        <f>IF(ISBLANK(E24),"",E24*F24)</f>
        <v>39.839999999999996</v>
      </c>
    </row>
    <row r="25" spans="1:7">
      <c r="E25" s="8"/>
      <c r="G25" s="8"/>
    </row>
    <row r="26" spans="1:7">
      <c r="A26" s="13" t="s">
        <v>31</v>
      </c>
      <c r="B26" t="str">
        <f>IF(ISBLANK(A26),"",VLOOKUP(A26,prestations!$A$1:$C$3,2))</f>
        <v>Photocopies Noir et Blanc</v>
      </c>
      <c r="E26" s="14">
        <v>889</v>
      </c>
      <c r="F26" s="7">
        <f>IF(ISBLANK(A26),"",VLOOKUP(A26,prestations!$A$1:$C$3,3))</f>
        <v>5.5E-2</v>
      </c>
      <c r="G26" s="9">
        <f>IF(ISBLANK(E26),"",E26*F26)</f>
        <v>48.895000000000003</v>
      </c>
    </row>
    <row r="40" spans="1:7">
      <c r="F40" s="3" t="s">
        <v>23</v>
      </c>
      <c r="G40" s="10">
        <f>SUM(G22,G24,G26)</f>
        <v>92.064999999999998</v>
      </c>
    </row>
    <row r="43" spans="1:7">
      <c r="F43" s="4" t="s">
        <v>22</v>
      </c>
      <c r="G43" s="11">
        <f>G40</f>
        <v>92.064999999999998</v>
      </c>
    </row>
    <row r="47" spans="1:7">
      <c r="A47" t="s">
        <v>18</v>
      </c>
    </row>
    <row r="48" spans="1:7">
      <c r="A48" t="s">
        <v>19</v>
      </c>
    </row>
    <row r="49" spans="1:1">
      <c r="A49" t="s">
        <v>20</v>
      </c>
    </row>
    <row r="50" spans="1:1">
      <c r="A50" t="s">
        <v>21</v>
      </c>
    </row>
  </sheetData>
  <pageMargins left="0.70866141732283472" right="0" top="0.74803149606299213" bottom="0.74803149606299213" header="0.31496062992125984" footer="0.31496062992125984"/>
  <pageSetup paperSize="9" orientation="portrait" r:id="rId1"/>
  <ignoredErrors>
    <ignoredError sqref="E7:E8" unlockedFormula="1"/>
  </ignoredErrors>
  <legacyDrawing r:id="rId2"/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prestations!$A$1:$A$3</xm:f>
          </x14:formula1>
          <xm:sqref>A22 A24 A26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E4"/>
  <sheetViews>
    <sheetView workbookViewId="0"/>
  </sheetViews>
  <sheetFormatPr baseColWidth="10" defaultRowHeight="15"/>
  <cols>
    <col min="2" max="2" width="24.140625" bestFit="1" customWidth="1"/>
    <col min="3" max="3" width="20.5703125" bestFit="1" customWidth="1"/>
  </cols>
  <sheetData>
    <row r="1" spans="1:5">
      <c r="A1">
        <v>411007</v>
      </c>
      <c r="B1" t="s">
        <v>48</v>
      </c>
      <c r="C1" t="s">
        <v>25</v>
      </c>
      <c r="E1" t="s">
        <v>38</v>
      </c>
    </row>
    <row r="2" spans="1:5">
      <c r="A2">
        <v>411008</v>
      </c>
      <c r="B2" t="s">
        <v>49</v>
      </c>
      <c r="C2" t="s">
        <v>27</v>
      </c>
      <c r="E2" t="s">
        <v>39</v>
      </c>
    </row>
    <row r="3" spans="1:5">
      <c r="A3">
        <v>411009</v>
      </c>
      <c r="B3" t="s">
        <v>26</v>
      </c>
      <c r="C3" t="s">
        <v>28</v>
      </c>
      <c r="E3" t="s">
        <v>40</v>
      </c>
    </row>
    <row r="4" spans="1:5">
      <c r="A4">
        <v>411010</v>
      </c>
      <c r="B4" t="s">
        <v>44</v>
      </c>
      <c r="C4" t="s">
        <v>43</v>
      </c>
      <c r="E4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:C4"/>
  <sheetViews>
    <sheetView workbookViewId="0">
      <selection activeCell="A3" sqref="A3"/>
    </sheetView>
  </sheetViews>
  <sheetFormatPr baseColWidth="10" defaultRowHeight="15"/>
  <cols>
    <col min="1" max="1" width="15.42578125" bestFit="1" customWidth="1"/>
    <col min="2" max="2" width="24" bestFit="1" customWidth="1"/>
  </cols>
  <sheetData>
    <row r="1" spans="1:3">
      <c r="A1" t="s">
        <v>29</v>
      </c>
      <c r="B1" t="s">
        <v>32</v>
      </c>
      <c r="C1" s="5">
        <v>3.33</v>
      </c>
    </row>
    <row r="2" spans="1:3">
      <c r="A2" t="s">
        <v>30</v>
      </c>
      <c r="B2" t="s">
        <v>33</v>
      </c>
      <c r="C2" s="5">
        <v>0.24</v>
      </c>
    </row>
    <row r="3" spans="1:3">
      <c r="A3" t="s">
        <v>31</v>
      </c>
      <c r="B3" t="s">
        <v>34</v>
      </c>
      <c r="C3" s="5">
        <v>5.5E-2</v>
      </c>
    </row>
    <row r="4" spans="1:3">
      <c r="A4" t="s">
        <v>46</v>
      </c>
      <c r="B4" t="s">
        <v>47</v>
      </c>
      <c r="C4">
        <v>0.35599999999999998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A4:C5"/>
  <sheetViews>
    <sheetView workbookViewId="0">
      <selection activeCell="C5" sqref="C5"/>
    </sheetView>
  </sheetViews>
  <sheetFormatPr baseColWidth="10" defaultRowHeight="15"/>
  <cols>
    <col min="1" max="1" width="15.7109375" customWidth="1"/>
  </cols>
  <sheetData>
    <row r="4" spans="1:3">
      <c r="A4" t="s">
        <v>35</v>
      </c>
      <c r="B4">
        <f>VALUE(MID(C4,4,6))</f>
        <v>5184</v>
      </c>
      <c r="C4" t="str">
        <f>Facture!C17</f>
        <v>FC 5184</v>
      </c>
    </row>
    <row r="5" spans="1:3">
      <c r="A5" t="s">
        <v>36</v>
      </c>
      <c r="B5">
        <f>B4+1</f>
        <v>5185</v>
      </c>
      <c r="C5" t="str">
        <f>"FC "&amp;B5</f>
        <v>FC 5185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A1:F24"/>
  <sheetViews>
    <sheetView showGridLines="0" showRowColHeaders="0" workbookViewId="0">
      <selection activeCell="D21" sqref="D21"/>
    </sheetView>
  </sheetViews>
  <sheetFormatPr baseColWidth="10" defaultRowHeight="15"/>
  <sheetData>
    <row r="1" spans="1:6">
      <c r="A1" t="s">
        <v>0</v>
      </c>
    </row>
    <row r="2" spans="1:6">
      <c r="A2" t="s">
        <v>37</v>
      </c>
    </row>
    <row r="7" spans="1:6">
      <c r="D7" s="13" t="s">
        <v>24</v>
      </c>
    </row>
    <row r="8" spans="1:6">
      <c r="D8" s="13" t="s">
        <v>41</v>
      </c>
    </row>
    <row r="9" spans="1:6">
      <c r="D9" t="s">
        <v>1</v>
      </c>
    </row>
    <row r="10" spans="1:6">
      <c r="D10" t="s">
        <v>2</v>
      </c>
    </row>
    <row r="11" spans="1:6">
      <c r="D11" s="1" t="s">
        <v>4</v>
      </c>
    </row>
    <row r="15" spans="1:6">
      <c r="A15" t="s">
        <v>14</v>
      </c>
      <c r="D15" t="s">
        <v>15</v>
      </c>
      <c r="E15" t="s">
        <v>16</v>
      </c>
      <c r="F15" t="s">
        <v>17</v>
      </c>
    </row>
    <row r="17" spans="1:6">
      <c r="A17" t="s">
        <v>32</v>
      </c>
      <c r="D17" s="14">
        <f>IF(ISBLANK(E24),"",VLOOKUP(E24,Feuil2!$A$1:$E$22,5))</f>
        <v>0</v>
      </c>
      <c r="E17" s="7">
        <f>IF(ISBLANK(A17),"",VLOOKUP(A17,prestations!$A$1:$C$3,3))</f>
        <v>3.33</v>
      </c>
      <c r="F17" s="9">
        <v>3.33</v>
      </c>
    </row>
    <row r="18" spans="1:6">
      <c r="D18" s="8"/>
      <c r="F18" s="8"/>
    </row>
    <row r="19" spans="1:6">
      <c r="A19" t="s">
        <v>33</v>
      </c>
      <c r="D19" s="14">
        <f>IF(ISBLANK(E24),"",VLOOKUP(E24,Feuil2!$A$1:$E$24,5))</f>
        <v>300</v>
      </c>
      <c r="E19" s="7">
        <f ca="1">IF(ISBLANK(E19),"",VLOOKUP(E19,prestations!$A$1:$C$2,3))</f>
        <v>0</v>
      </c>
      <c r="F19" s="9">
        <v>39.839999999999996</v>
      </c>
    </row>
    <row r="20" spans="1:6">
      <c r="D20" s="8"/>
      <c r="F20" s="8"/>
    </row>
    <row r="21" spans="1:6">
      <c r="A21" t="s">
        <v>34</v>
      </c>
      <c r="D21" s="14">
        <f>IF(ISBLANK(E24),"",VLOOKUP(E24,Feuil2!$A$1:$E$26,5))</f>
        <v>552</v>
      </c>
      <c r="E21" s="7">
        <f ca="1">IF(ISBLANK(E21),"",VLOOKUP(E21,prestations!$A$1:$C$3,3))</f>
        <v>0</v>
      </c>
      <c r="F21" s="9">
        <v>48.895000000000003</v>
      </c>
    </row>
    <row r="23" spans="1:6">
      <c r="A23" t="s">
        <v>46</v>
      </c>
      <c r="D23" s="24">
        <f>IF(ISBLANK(A23),"",VLOOKUP(A23,Feuil2!$A$1:$E$28,5))</f>
        <v>2</v>
      </c>
    </row>
    <row r="24" spans="1:6">
      <c r="E24" s="1" t="s">
        <v>42</v>
      </c>
      <c r="F24" s="15">
        <f>SUM(F17:F21)</f>
        <v>92.064999999999998</v>
      </c>
    </row>
  </sheetData>
  <pageMargins left="0.7" right="0.7" top="0.75" bottom="0.75" header="0.3" footer="0.3"/>
  <legacyDrawing r:id="rId1"/>
  <controls>
    <control shapeId="5122" r:id="rId2" name="toto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A1:G52"/>
  <sheetViews>
    <sheetView tabSelected="1" topLeftCell="A4" workbookViewId="0">
      <selection activeCell="F28" sqref="F28"/>
    </sheetView>
  </sheetViews>
  <sheetFormatPr baseColWidth="10" defaultRowHeight="15"/>
  <sheetData>
    <row r="1" spans="1:7">
      <c r="A1" t="s">
        <v>0</v>
      </c>
    </row>
    <row r="3" spans="1:7">
      <c r="A3" t="s">
        <v>1</v>
      </c>
    </row>
    <row r="4" spans="1:7">
      <c r="A4" t="s">
        <v>2</v>
      </c>
    </row>
    <row r="5" spans="1:7">
      <c r="A5" t="s">
        <v>3</v>
      </c>
    </row>
    <row r="6" spans="1:7">
      <c r="A6" s="1" t="s">
        <v>4</v>
      </c>
    </row>
    <row r="7" spans="1:7">
      <c r="E7" s="13" t="str">
        <f>VLOOKUP(E17,LIGUES!$A$1:$C$4,2)</f>
        <v>Ligue Lorraine de Baby-Foot</v>
      </c>
    </row>
    <row r="8" spans="1:7">
      <c r="A8" t="s">
        <v>5</v>
      </c>
      <c r="E8" s="13" t="str">
        <f>"A l'attention de "&amp;VLOOKUP(E17,LIGUES!$A$1:$C$4,3)</f>
        <v>A l'attention de Sylvain Delahousse</v>
      </c>
    </row>
    <row r="9" spans="1:7">
      <c r="A9" t="s">
        <v>7</v>
      </c>
      <c r="E9" t="s">
        <v>1</v>
      </c>
    </row>
    <row r="10" spans="1:7">
      <c r="A10" t="s">
        <v>6</v>
      </c>
      <c r="E10" t="s">
        <v>2</v>
      </c>
    </row>
    <row r="11" spans="1:7">
      <c r="E11" s="1" t="s">
        <v>4</v>
      </c>
    </row>
    <row r="14" spans="1:7" ht="15.75">
      <c r="A14" s="2" t="s">
        <v>8</v>
      </c>
    </row>
    <row r="16" spans="1:7">
      <c r="A16" t="s">
        <v>9</v>
      </c>
      <c r="C16" t="s">
        <v>10</v>
      </c>
      <c r="E16" t="s">
        <v>11</v>
      </c>
      <c r="G16" t="s">
        <v>12</v>
      </c>
    </row>
    <row r="17" spans="1:7">
      <c r="A17" s="12">
        <v>40951</v>
      </c>
      <c r="C17" s="13" t="s">
        <v>51</v>
      </c>
      <c r="E17" s="13">
        <v>411010</v>
      </c>
      <c r="G17" s="6">
        <f>EOMONTH(A17,0)</f>
        <v>40968</v>
      </c>
    </row>
    <row r="20" spans="1:7">
      <c r="A20" t="s">
        <v>13</v>
      </c>
      <c r="B20" t="s">
        <v>14</v>
      </c>
      <c r="E20" t="s">
        <v>15</v>
      </c>
      <c r="F20" t="s">
        <v>16</v>
      </c>
      <c r="G20" t="s">
        <v>17</v>
      </c>
    </row>
    <row r="22" spans="1:7">
      <c r="A22" s="13" t="s">
        <v>29</v>
      </c>
      <c r="B22" t="str">
        <f>IF(ISBLANK(A22),"",VLOOKUP(A22,prestations!$A$1:$C$3,2))</f>
        <v>Affranchissement</v>
      </c>
      <c r="E22" s="14">
        <v>0</v>
      </c>
      <c r="F22" s="7">
        <f>IF(ISBLANK(A22),"",VLOOKUP(A22,prestations!$A$1:$C$3,3))</f>
        <v>3.33</v>
      </c>
      <c r="G22" s="9">
        <f>IF(ISBLANK(E22),"",E22*F22)</f>
        <v>0</v>
      </c>
    </row>
    <row r="23" spans="1:7">
      <c r="E23" s="8"/>
      <c r="G23" s="8"/>
    </row>
    <row r="24" spans="1:7">
      <c r="A24" s="13" t="s">
        <v>30</v>
      </c>
      <c r="B24" t="str">
        <f>IF(ISBLANK(A24),"",VLOOKUP(A24,prestations!$A$1:$C$3,2))</f>
        <v>Photocopies couleur</v>
      </c>
      <c r="E24" s="14">
        <v>300</v>
      </c>
      <c r="F24" s="7">
        <f>IF(ISBLANK(A24),"",VLOOKUP(A24,prestations!$A$1:$C$3,3))</f>
        <v>0.24</v>
      </c>
      <c r="G24" s="9">
        <f>IF(ISBLANK(E24),"",E24*F24)</f>
        <v>72</v>
      </c>
    </row>
    <row r="25" spans="1:7">
      <c r="E25" s="8"/>
      <c r="G25" s="8"/>
    </row>
    <row r="26" spans="1:7">
      <c r="A26" s="13" t="s">
        <v>31</v>
      </c>
      <c r="B26" t="str">
        <f>IF(ISBLANK(A26),"",VLOOKUP(A26,prestations!$A$1:$C$3,2))</f>
        <v>Photocopies Noir et Blanc</v>
      </c>
      <c r="E26" s="14">
        <v>552</v>
      </c>
      <c r="F26" s="7">
        <f>IF(ISBLANK(A26),"",VLOOKUP(A26,prestations!$A$1:$C$3,3))</f>
        <v>5.5E-2</v>
      </c>
      <c r="G26" s="9">
        <f>IF(ISBLANK(E26),"",E26*F26)</f>
        <v>30.36</v>
      </c>
    </row>
    <row r="28" spans="1:7">
      <c r="A28" t="s">
        <v>46</v>
      </c>
      <c r="B28" t="s">
        <v>47</v>
      </c>
      <c r="E28" s="25">
        <v>2</v>
      </c>
      <c r="F28" s="8">
        <f>IF(ISBLANK(A28),"",VLOOKUP(A28,prestations!$A$1:$C$4,3))</f>
        <v>0.35599999999999998</v>
      </c>
      <c r="G28" s="26">
        <f>IF(ISBLANK(E26),"",E28*F28)</f>
        <v>0.71199999999999997</v>
      </c>
    </row>
    <row r="42" spans="6:7">
      <c r="F42" s="3" t="s">
        <v>23</v>
      </c>
      <c r="G42" s="10">
        <f>SUM(G24,G26,G28)</f>
        <v>103.072</v>
      </c>
    </row>
    <row r="45" spans="6:7">
      <c r="F45" s="4" t="s">
        <v>22</v>
      </c>
      <c r="G45" s="11">
        <f>G42</f>
        <v>103.072</v>
      </c>
    </row>
    <row r="49" spans="1:1">
      <c r="A49" t="s">
        <v>18</v>
      </c>
    </row>
    <row r="50" spans="1:1">
      <c r="A50" t="s">
        <v>19</v>
      </c>
    </row>
    <row r="51" spans="1:1">
      <c r="A51" t="s">
        <v>20</v>
      </c>
    </row>
    <row r="52" spans="1:1">
      <c r="A52" t="s">
        <v>21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G29"/>
  <sheetViews>
    <sheetView workbookViewId="0">
      <selection activeCell="E19" sqref="E19"/>
    </sheetView>
  </sheetViews>
  <sheetFormatPr baseColWidth="10" defaultRowHeight="15"/>
  <sheetData>
    <row r="1" spans="1:7">
      <c r="A1" s="16" t="s">
        <v>0</v>
      </c>
      <c r="B1" s="16"/>
      <c r="C1" s="16"/>
      <c r="D1" s="16"/>
      <c r="E1" s="16"/>
      <c r="F1" s="16"/>
      <c r="G1" s="16"/>
    </row>
    <row r="2" spans="1:7">
      <c r="A2" s="16" t="s">
        <v>37</v>
      </c>
      <c r="B2" s="16"/>
      <c r="C2" s="16"/>
      <c r="D2" s="16"/>
      <c r="E2" s="16"/>
      <c r="F2" s="16"/>
      <c r="G2" s="16"/>
    </row>
    <row r="3" spans="1:7">
      <c r="A3" s="16"/>
      <c r="B3" s="16"/>
      <c r="C3" s="16"/>
      <c r="D3" s="16"/>
      <c r="E3" s="16"/>
      <c r="F3" s="16"/>
      <c r="G3" s="16"/>
    </row>
    <row r="4" spans="1:7">
      <c r="A4" s="16"/>
      <c r="B4" s="16"/>
      <c r="C4" s="16"/>
      <c r="D4" s="16"/>
      <c r="E4" s="16"/>
      <c r="F4" s="16"/>
      <c r="G4" s="16"/>
    </row>
    <row r="5" spans="1:7">
      <c r="A5" s="16"/>
      <c r="B5" s="16"/>
      <c r="C5" s="16"/>
      <c r="D5" s="16"/>
      <c r="E5" s="16"/>
      <c r="F5" s="16"/>
      <c r="G5" s="16"/>
    </row>
    <row r="6" spans="1:7">
      <c r="A6" s="16"/>
      <c r="B6" s="16"/>
      <c r="C6" s="16"/>
      <c r="D6" s="16"/>
      <c r="E6" s="16"/>
      <c r="F6" s="16"/>
      <c r="G6" s="16"/>
    </row>
    <row r="7" spans="1:7">
      <c r="A7" s="16"/>
      <c r="B7" s="16"/>
      <c r="C7" s="16"/>
      <c r="D7" s="17" t="s">
        <v>24</v>
      </c>
      <c r="E7" s="16"/>
      <c r="F7" s="16"/>
      <c r="G7" s="16"/>
    </row>
    <row r="8" spans="1:7">
      <c r="A8" s="16"/>
      <c r="B8" s="16"/>
      <c r="C8" s="16"/>
      <c r="D8" s="17" t="s">
        <v>41</v>
      </c>
      <c r="E8" s="16"/>
      <c r="F8" s="16"/>
      <c r="G8" s="16"/>
    </row>
    <row r="9" spans="1:7">
      <c r="A9" s="16"/>
      <c r="B9" s="16"/>
      <c r="C9" s="16"/>
      <c r="D9" s="16" t="s">
        <v>1</v>
      </c>
      <c r="E9" s="16"/>
      <c r="F9" s="16"/>
      <c r="G9" s="16"/>
    </row>
    <row r="10" spans="1:7">
      <c r="A10" s="16"/>
      <c r="B10" s="16"/>
      <c r="C10" s="16"/>
      <c r="D10" s="16" t="s">
        <v>2</v>
      </c>
      <c r="E10" s="16"/>
      <c r="F10" s="16"/>
      <c r="G10" s="16"/>
    </row>
    <row r="11" spans="1:7">
      <c r="A11" s="16"/>
      <c r="B11" s="16"/>
      <c r="C11" s="16"/>
      <c r="D11" s="18" t="s">
        <v>4</v>
      </c>
      <c r="E11" s="16"/>
      <c r="F11" s="16"/>
      <c r="G11" s="16"/>
    </row>
    <row r="12" spans="1:7">
      <c r="A12" s="16"/>
      <c r="B12" s="16"/>
      <c r="C12" s="16"/>
      <c r="D12" s="16"/>
      <c r="E12" s="16"/>
      <c r="F12" s="16"/>
      <c r="G12" s="16"/>
    </row>
    <row r="13" spans="1:7">
      <c r="A13" s="16"/>
      <c r="B13" s="16"/>
      <c r="C13" s="16"/>
      <c r="D13" s="16"/>
      <c r="E13" s="16"/>
      <c r="F13" s="16"/>
      <c r="G13" s="16"/>
    </row>
    <row r="14" spans="1:7">
      <c r="A14" s="16"/>
      <c r="B14" s="16"/>
      <c r="C14" s="16"/>
      <c r="D14" s="16"/>
      <c r="E14" s="16"/>
      <c r="F14" s="16"/>
      <c r="G14" s="16"/>
    </row>
    <row r="15" spans="1:7">
      <c r="A15" s="16" t="s">
        <v>14</v>
      </c>
      <c r="B15" s="16"/>
      <c r="C15" s="16"/>
      <c r="D15" s="16" t="s">
        <v>15</v>
      </c>
      <c r="E15" s="16" t="s">
        <v>16</v>
      </c>
      <c r="F15" s="16" t="s">
        <v>17</v>
      </c>
      <c r="G15" s="16"/>
    </row>
    <row r="16" spans="1:7">
      <c r="A16" s="16"/>
      <c r="B16" s="16"/>
      <c r="C16" s="16"/>
      <c r="D16" s="16"/>
      <c r="E16" s="16"/>
      <c r="F16" s="16"/>
      <c r="G16" s="16"/>
    </row>
    <row r="17" spans="1:7">
      <c r="A17" s="16" t="s">
        <v>32</v>
      </c>
      <c r="B17" s="16"/>
      <c r="C17" s="16"/>
      <c r="D17" s="19">
        <v>1</v>
      </c>
      <c r="E17" s="20">
        <v>3.33</v>
      </c>
      <c r="F17" s="21">
        <v>3.33</v>
      </c>
      <c r="G17" s="16"/>
    </row>
    <row r="18" spans="1:7">
      <c r="A18" s="16"/>
      <c r="B18" s="16"/>
      <c r="C18" s="16"/>
      <c r="D18" s="22"/>
      <c r="E18" s="16"/>
      <c r="F18" s="22"/>
      <c r="G18" s="16"/>
    </row>
    <row r="19" spans="1:7">
      <c r="A19" s="16" t="s">
        <v>33</v>
      </c>
      <c r="B19" s="16"/>
      <c r="C19" s="16"/>
      <c r="D19" s="19">
        <v>166</v>
      </c>
      <c r="E19" s="20">
        <v>0.24</v>
      </c>
      <c r="F19" s="21">
        <v>39.839999999999996</v>
      </c>
      <c r="G19" s="16"/>
    </row>
    <row r="20" spans="1:7">
      <c r="A20" s="16"/>
      <c r="B20" s="16"/>
      <c r="C20" s="16"/>
      <c r="D20" s="22"/>
      <c r="E20" s="16"/>
      <c r="F20" s="22"/>
      <c r="G20" s="16"/>
    </row>
    <row r="21" spans="1:7">
      <c r="A21" s="16" t="s">
        <v>34</v>
      </c>
      <c r="B21" s="16"/>
      <c r="C21" s="16"/>
      <c r="D21" s="19">
        <v>889</v>
      </c>
      <c r="E21" s="20">
        <v>5.5E-2</v>
      </c>
      <c r="F21" s="21">
        <v>48.895000000000003</v>
      </c>
      <c r="G21" s="16"/>
    </row>
    <row r="22" spans="1:7">
      <c r="A22" s="16"/>
      <c r="B22" s="16"/>
      <c r="C22" s="16"/>
      <c r="D22" s="16"/>
      <c r="E22" s="16"/>
      <c r="F22" s="16"/>
      <c r="G22" s="16"/>
    </row>
    <row r="23" spans="1:7">
      <c r="A23" s="16"/>
      <c r="B23" s="16"/>
      <c r="C23" s="16"/>
      <c r="D23" s="16"/>
      <c r="E23" s="16"/>
      <c r="F23" s="16"/>
      <c r="G23" s="16"/>
    </row>
    <row r="24" spans="1:7">
      <c r="A24" s="16"/>
      <c r="B24" s="16"/>
      <c r="C24" s="16"/>
      <c r="D24" s="16"/>
      <c r="E24" s="18" t="s">
        <v>42</v>
      </c>
      <c r="F24" s="23">
        <f>SUM(F17:F21)</f>
        <v>92.064999999999998</v>
      </c>
      <c r="G24" s="16"/>
    </row>
    <row r="25" spans="1:7">
      <c r="A25" s="16"/>
      <c r="B25" s="16"/>
      <c r="C25" s="16"/>
      <c r="D25" s="16"/>
      <c r="E25" s="16"/>
      <c r="F25" s="16"/>
      <c r="G25" s="16"/>
    </row>
    <row r="26" spans="1:7">
      <c r="A26" s="16"/>
      <c r="B26" s="16"/>
      <c r="C26" s="16"/>
      <c r="D26" s="16"/>
      <c r="E26" s="16"/>
      <c r="F26" s="16"/>
      <c r="G26" s="16"/>
    </row>
    <row r="27" spans="1:7">
      <c r="A27" s="16"/>
      <c r="B27" s="16"/>
      <c r="C27" s="16"/>
      <c r="D27" s="16"/>
      <c r="E27" s="16"/>
      <c r="F27" s="16"/>
      <c r="G27" s="16"/>
    </row>
    <row r="28" spans="1:7">
      <c r="A28" s="16" t="s">
        <v>0</v>
      </c>
      <c r="B28" s="16"/>
      <c r="C28" s="16"/>
      <c r="D28" s="16"/>
      <c r="E28" s="16"/>
      <c r="F28" s="16"/>
      <c r="G28" s="16"/>
    </row>
    <row r="29" spans="1:7">
      <c r="A29" s="16"/>
      <c r="B29" s="16"/>
      <c r="C29" s="16"/>
      <c r="D29" s="16"/>
      <c r="E29" s="16"/>
      <c r="F29" s="16"/>
      <c r="G29" s="16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Facture</vt:lpstr>
      <vt:lpstr>LIGUES</vt:lpstr>
      <vt:lpstr>prestations</vt:lpstr>
      <vt:lpstr>parametres</vt:lpstr>
      <vt:lpstr>Feuil1</vt:lpstr>
      <vt:lpstr>Feuil2</vt:lpstr>
      <vt:lpstr>Feuil3</vt:lpstr>
      <vt:lpstr>Facture!Zone_d_impression</vt:lpstr>
      <vt:lpstr>Feuil2!Zone_d_impression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Emmanuelle</dc:creator>
  <cp:lastModifiedBy>admin1</cp:lastModifiedBy>
  <cp:lastPrinted>2012-01-17T13:15:44Z</cp:lastPrinted>
  <dcterms:created xsi:type="dcterms:W3CDTF">2012-01-12T09:09:01Z</dcterms:created>
  <dcterms:modified xsi:type="dcterms:W3CDTF">2018-11-15T16:52:15Z</dcterms:modified>
</cp:coreProperties>
</file>